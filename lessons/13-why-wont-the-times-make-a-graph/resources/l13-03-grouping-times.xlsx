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Visit times" sheetId="1" state="visible" r:id="rId3"/>
    <sheet name="Grouping" sheetId="2" state="visible" r:id="rId4"/>
    <sheet name="Ruler drop"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<sst xmlns="http://schemas.openxmlformats.org/spreadsheetml/2006/main" count="34" uniqueCount="30">
  <si>
    <t xml:space="preserve">Every visit, in seconds</t>
  </si>
  <si>
    <t xml:space="preserve">Comet has 13 times and twelve of them are different from each other. That is the problem this lesson solves.</t>
  </si>
  <si>
    <t xml:space="preserve">Comet</t>
  </si>
  <si>
    <t xml:space="preserve">Nebula</t>
  </si>
  <si>
    <t xml:space="preserve">What a graph of these would look like</t>
  </si>
  <si>
    <t xml:space="preserve">How many Comet times</t>
  </si>
  <si>
    <t xml:space="preserve">How many different values</t>
  </si>
  <si>
    <t xml:space="preserve">Shortest</t>
  </si>
  <si>
    <t xml:space="preserve">Longest</t>
  </si>
  <si>
    <t xml:space="preserve">Range</t>
  </si>
  <si>
    <t xml:space="preserve">Thirteen times, twelve of them different. A column graph of the raw values would have twelve bars, almost all of them one high, and it would show nothing at all. Measurements are like that: no two are ever quite the same.</t>
  </si>
  <si>
    <t xml:space="preserve">The same times, in groups of four seconds</t>
  </si>
  <si>
    <t xml:space="preserve">Equal width, no gaps, no overlaps. The counts are formulas — click one and read the formula bar.</t>
  </si>
  <si>
    <t xml:space="preserve">Group (seconds)</t>
  </si>
  <si>
    <t xml:space="preserve">From</t>
  </si>
  <si>
    <t xml:space="preserve">To</t>
  </si>
  <si>
    <t xml:space="preserve">Change a "From" or a "To" and watch the counts move. Try groups of 2 seconds, then groups of 10. One gives you almost as many bars as values; the other puts nearly everybody in one bar. Four or five groups is usually the sweet spot.</t>
  </si>
  <si>
    <t xml:space="preserve">26 to 29</t>
  </si>
  <si>
    <t xml:space="preserve">30 to 33</t>
  </si>
  <si>
    <t xml:space="preserve">34 to 37</t>
  </si>
  <si>
    <t xml:space="preserve">38 to 41</t>
  </si>
  <si>
    <t xml:space="preserve">42 to 45</t>
  </si>
  <si>
    <t xml:space="preserve">Total</t>
  </si>
  <si>
    <t xml:space="preserve">Spare data — the ruler drop</t>
  </si>
  <si>
    <t xml:space="preserve">Twenty-eight Year 6 students caught a dropped ruler. The distance it fell, in centimetres. Use this if your own times are too thin to group.</t>
  </si>
  <si>
    <t xml:space="preserve">Student</t>
  </si>
  <si>
    <t xml:space="preserve">Centimetres</t>
  </si>
  <si>
    <t xml:space="preserve">Your groups</t>
  </si>
  <si>
    <t xml:space="preserve">How many</t>
  </si>
  <si>
    <t xml:space="preserve">Type your own From and To values and the counts appear. They must be equal width and they must not overlap. When the counts add to 28, your groups cover everybody exactly once.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</si>
</sst>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Cambria"/>
      <family val="0"/>
      <charset val="1"/>
    </font>
    <font>
      <i val="true"/>
      <sz val="10"/>
      <color rgb="FF555F6E"/>
      <name val="Calibri"/>
      <family val="0"/>
      <charset val="1"/>
    </font>
    <font>
      <b val="true"/>
      <sz val="11"/>
      <color rgb="FFFFFFFF"/>
      <name val="Calibri"/>
      <family val="0"/>
      <charset val="1"/>
    </font>
    <font>
      <b val="true"/>
      <sz val="10"/>
      <color rgb="FF1F3864"/>
      <name val="Calibri"/>
      <family val="0"/>
      <charset val="1"/>
    </font>
    <font>
      <sz val="10"/>
      <name val="Cambria"/>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DCE6F1"/>
        <bgColor rgb="FFD9D9D9"/>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C0504D"/>
      <rgbColor rgb="FFFFFFCC"/>
      <rgbColor rgb="FFDCE6F1"/>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55F6E"/>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How long a visit took</a:t>
            </a:r>
          </a:p>
        </c:rich>
      </c:tx>
      <c:overlay val="0"/>
      <c:spPr>
        <a:noFill/>
        <a:ln w="0">
          <a:noFill/>
        </a:ln>
      </c:spPr>
    </c:title>
    <c:autoTitleDeleted val="0"/>
    <c:plotArea>
      <c:barChart>
        <c:barDir val="col"/>
        <c:grouping val="clustered"/>
        <c:varyColors val="0"/>
        <c:ser>
          <c:idx val="0"/>
          <c:order val="0"/>
          <c:tx>
            <c:strRef>
              <c:f>Grouping!D4</c:f>
              <c:strCache>
                <c:ptCount val="1"/>
                <c:pt idx="0">
                  <c:v>Comet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Grouping!$A$5:$A$9</c:f>
              <c:strCache>
                <c:ptCount val="5"/>
                <c:pt idx="0">
                  <c:v>26 to 29</c:v>
                </c:pt>
                <c:pt idx="1">
                  <c:v>30 to 33</c:v>
                </c:pt>
                <c:pt idx="2">
                  <c:v>34 to 37</c:v>
                </c:pt>
                <c:pt idx="3">
                  <c:v>38 to 41</c:v>
                </c:pt>
                <c:pt idx="4">
                  <c:v>42 to 45</c:v>
                </c:pt>
              </c:strCache>
            </c:strRef>
          </c:cat>
          <c:val>
            <c:numRef>
              <c:f>Grouping!$D$5:$D$9</c:f>
              <c:numCache>
                <c:formatCode>General</c:formatCode>
                <c:ptCount val="5"/>
                <c:pt idx="0">
                  <c:v>0</c:v>
                </c:pt>
                <c:pt idx="1">
                  <c:v>1</c:v>
                </c:pt>
                <c:pt idx="2">
                  <c:v>4</c:v>
                </c:pt>
                <c:pt idx="3">
                  <c:v>5</c:v>
                </c:pt>
                <c:pt idx="4">
                  <c:v>3</c:v>
                </c:pt>
              </c:numCache>
            </c:numRef>
          </c:val>
        </c:ser>
        <c:ser>
          <c:idx val="1"/>
          <c:order val="1"/>
          <c:tx>
            <c:strRef>
              <c:f>Grouping!E4</c:f>
              <c:strCache>
                <c:ptCount val="1"/>
                <c:pt idx="0">
                  <c:v>Nebula</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Grouping!$A$5:$A$9</c:f>
              <c:strCache>
                <c:ptCount val="5"/>
                <c:pt idx="0">
                  <c:v>26 to 29</c:v>
                </c:pt>
                <c:pt idx="1">
                  <c:v>30 to 33</c:v>
                </c:pt>
                <c:pt idx="2">
                  <c:v>34 to 37</c:v>
                </c:pt>
                <c:pt idx="3">
                  <c:v>38 to 41</c:v>
                </c:pt>
                <c:pt idx="4">
                  <c:v>42 to 45</c:v>
                </c:pt>
              </c:strCache>
            </c:strRef>
          </c:cat>
          <c:val>
            <c:numRef>
              <c:f>Grouping!$E$5:$E$9</c:f>
              <c:numCache>
                <c:formatCode>General</c:formatCode>
                <c:ptCount val="5"/>
                <c:pt idx="0">
                  <c:v>4</c:v>
                </c:pt>
                <c:pt idx="1">
                  <c:v>4</c:v>
                </c:pt>
                <c:pt idx="2">
                  <c:v>1</c:v>
                </c:pt>
                <c:pt idx="3">
                  <c:v>1</c:v>
                </c:pt>
                <c:pt idx="4">
                  <c:v>0</c:v>
                </c:pt>
              </c:numCache>
            </c:numRef>
          </c:val>
        </c:ser>
        <c:gapWidth val="8"/>
        <c:overlap val="0"/>
        <c:axId val="41938776"/>
        <c:axId val="61533157"/>
      </c:barChart>
      <c:catAx>
        <c:axId val="4193877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33157"/>
        <c:crosses val="autoZero"/>
        <c:auto val="1"/>
        <c:lblAlgn val="ctr"/>
        <c:lblOffset val="100"/>
        <c:noMultiLvlLbl val="0"/>
      </c:catAx>
      <c:valAx>
        <c:axId val="615331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buddies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9387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160560</xdr:rowOff>
    </xdr:from>
    <xdr:to>
      <xdr:col>6</xdr:col>
      <xdr:colOff>199080</xdr:colOff>
      <xdr:row>26</xdr:row>
      <xdr:rowOff>182880</xdr:rowOff>
    </xdr:to>
    <xdr:graphicFrame>
      <xdr:nvGraphicFramePr>
        <xdr:cNvPr id="0" name="Chart 1"/>
        <xdr:cNvGraphicFramePr/>
      </xdr:nvGraphicFramePr>
      <xdr:xfrm>
        <a:off x="0" y="23716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4" min="4" style="0" width="26"/>
    <col collapsed="false" customWidth="true" hidden="false" outlineLevel="0" max="5" min="5" style="0" width="10"/>
  </cols>
  <sheetData>
    <row r="1" customFormat="false" ht="17.35" hidden="false" customHeight="false" outlineLevel="0" collapsed="false">
      <c r="A1" s="1" t="s">
        <v>0</v>
      </c>
      <c r="B1" s="1"/>
      <c r="C1" s="1"/>
      <c r="D1" s="1"/>
    </row>
    <row r="2" customFormat="false" ht="15" hidden="false" customHeight="false" outlineLevel="0" collapsed="false">
      <c r="A2" s="2" t="s">
        <v>1</v>
      </c>
      <c r="B2" s="2"/>
      <c r="C2" s="2"/>
      <c r="D2" s="2"/>
    </row>
    <row r="4" customFormat="false" ht="21.75" hidden="false" customHeight="true" outlineLevel="0" collapsed="false">
      <c r="A4" s="3" t="s">
        <v>2</v>
      </c>
      <c r="B4" s="3" t="s">
        <v>3</v>
      </c>
      <c r="D4" s="4" t="s">
        <v>4</v>
      </c>
    </row>
    <row r="5" customFormat="false" ht="15" hidden="false" customHeight="false" outlineLevel="0" collapsed="false">
      <c r="A5" s="5" t="n">
        <v>33</v>
      </c>
      <c r="B5" s="5" t="n">
        <v>26</v>
      </c>
      <c r="D5" s="6" t="s">
        <v>5</v>
      </c>
      <c r="E5" s="5" t="n">
        <f aca="false">COUNT(A5:A20)</f>
        <v>13</v>
      </c>
    </row>
    <row r="6" customFormat="false" ht="15" hidden="false" customHeight="false" outlineLevel="0" collapsed="false">
      <c r="A6" s="5" t="n">
        <v>34</v>
      </c>
      <c r="B6" s="5" t="n">
        <v>27</v>
      </c>
      <c r="D6" s="6" t="s">
        <v>6</v>
      </c>
      <c r="E6" s="5" t="n">
        <f aca="false">SUMPRODUCT((A5:A17&lt;&gt;"")/COUNTIF(A5:A17,A5:A17&amp;""))</f>
        <v>12</v>
      </c>
    </row>
    <row r="7" customFormat="false" ht="15" hidden="false" customHeight="false" outlineLevel="0" collapsed="false">
      <c r="A7" s="5" t="n">
        <v>35</v>
      </c>
      <c r="B7" s="5" t="n">
        <v>28</v>
      </c>
      <c r="D7" s="6" t="s">
        <v>7</v>
      </c>
      <c r="E7" s="5" t="n">
        <f aca="false">MIN(A5:A20)</f>
        <v>33</v>
      </c>
    </row>
    <row r="8" customFormat="false" ht="15" hidden="false" customHeight="false" outlineLevel="0" collapsed="false">
      <c r="A8" s="5" t="n">
        <v>36</v>
      </c>
      <c r="B8" s="5" t="n">
        <v>29</v>
      </c>
      <c r="D8" s="6" t="s">
        <v>8</v>
      </c>
      <c r="E8" s="5" t="n">
        <f aca="false">MAX(A5:A20)</f>
        <v>44</v>
      </c>
    </row>
    <row r="9" customFormat="false" ht="15" hidden="false" customHeight="false" outlineLevel="0" collapsed="false">
      <c r="A9" s="5" t="n">
        <v>37</v>
      </c>
      <c r="B9" s="5" t="n">
        <v>30</v>
      </c>
      <c r="D9" s="6" t="s">
        <v>9</v>
      </c>
      <c r="E9" s="5" t="n">
        <f aca="false">MAX(A5:A20)-MIN(A5:A20)</f>
        <v>11</v>
      </c>
    </row>
    <row r="10" customFormat="false" ht="15" hidden="false" customHeight="false" outlineLevel="0" collapsed="false">
      <c r="A10" s="5" t="n">
        <v>38</v>
      </c>
      <c r="B10" s="5" t="n">
        <v>31</v>
      </c>
    </row>
    <row r="11" customFormat="false" ht="15" hidden="false" customHeight="true" outlineLevel="0" collapsed="false">
      <c r="A11" s="5" t="n">
        <v>39</v>
      </c>
      <c r="B11" s="5" t="n">
        <v>32</v>
      </c>
      <c r="D11" s="7" t="s">
        <v>10</v>
      </c>
      <c r="E11" s="7"/>
      <c r="F11" s="7"/>
      <c r="G11" s="7"/>
    </row>
    <row r="12" customFormat="false" ht="15" hidden="false" customHeight="false" outlineLevel="0" collapsed="false">
      <c r="A12" s="5" t="n">
        <v>40</v>
      </c>
      <c r="B12" s="5" t="n">
        <v>33</v>
      </c>
      <c r="D12" s="7"/>
      <c r="E12" s="7"/>
      <c r="F12" s="7"/>
      <c r="G12" s="7"/>
    </row>
    <row r="13" customFormat="false" ht="15" hidden="false" customHeight="false" outlineLevel="0" collapsed="false">
      <c r="A13" s="5" t="n">
        <v>40</v>
      </c>
      <c r="B13" s="5" t="n">
        <v>35</v>
      </c>
      <c r="D13" s="7"/>
      <c r="E13" s="7"/>
      <c r="F13" s="7"/>
      <c r="G13" s="7"/>
    </row>
    <row r="14" customFormat="false" ht="15" hidden="false" customHeight="false" outlineLevel="0" collapsed="false">
      <c r="A14" s="5" t="n">
        <v>41</v>
      </c>
      <c r="B14" s="5" t="n">
        <v>38</v>
      </c>
      <c r="D14" s="7"/>
      <c r="E14" s="7"/>
      <c r="F14" s="7"/>
      <c r="G14" s="7"/>
    </row>
    <row r="15" customFormat="false" ht="15" hidden="false" customHeight="false" outlineLevel="0" collapsed="false">
      <c r="A15" s="5" t="n">
        <v>42</v>
      </c>
      <c r="D15" s="7"/>
      <c r="E15" s="7"/>
      <c r="F15" s="7"/>
      <c r="G15" s="7"/>
    </row>
    <row r="16" customFormat="false" ht="15" hidden="false" customHeight="false" outlineLevel="0" collapsed="false">
      <c r="A16" s="5" t="n">
        <v>43</v>
      </c>
    </row>
    <row r="17" customFormat="false" ht="15" hidden="false" customHeight="false" outlineLevel="0" collapsed="false">
      <c r="A17" s="5" t="n">
        <v>44</v>
      </c>
    </row>
  </sheetData>
  <mergeCells count="3">
    <mergeCell ref="A1:D1"/>
    <mergeCell ref="A2:D2"/>
    <mergeCell ref="D11: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9"/>
    <col collapsed="false" customWidth="true" hidden="false" outlineLevel="0" max="5" min="4" style="0" width="11"/>
    <col collapsed="false" customWidth="true" hidden="false" outlineLevel="0" max="7" min="7" style="0" width="16"/>
  </cols>
  <sheetData>
    <row r="1" customFormat="false" ht="17.35" hidden="false" customHeight="false" outlineLevel="0" collapsed="false">
      <c r="A1" s="1" t="s">
        <v>11</v>
      </c>
      <c r="B1" s="1"/>
      <c r="C1" s="1"/>
      <c r="D1" s="1"/>
      <c r="E1" s="1"/>
    </row>
    <row r="2" customFormat="false" ht="15" hidden="false" customHeight="false" outlineLevel="0" collapsed="false">
      <c r="A2" s="2" t="s">
        <v>12</v>
      </c>
      <c r="B2" s="2"/>
      <c r="C2" s="2"/>
      <c r="D2" s="2"/>
      <c r="E2" s="2"/>
    </row>
    <row r="4" customFormat="false" ht="21.75" hidden="false" customHeight="true" outlineLevel="0" collapsed="false">
      <c r="A4" s="3" t="s">
        <v>13</v>
      </c>
      <c r="B4" s="3" t="s">
        <v>14</v>
      </c>
      <c r="C4" s="3" t="s">
        <v>15</v>
      </c>
      <c r="D4" s="3" t="s">
        <v>2</v>
      </c>
      <c r="E4" s="3" t="s">
        <v>3</v>
      </c>
      <c r="G4" s="7" t="s">
        <v>16</v>
      </c>
      <c r="H4" s="7"/>
      <c r="I4" s="7"/>
      <c r="J4" s="7"/>
    </row>
    <row r="5" customFormat="false" ht="15" hidden="false" customHeight="false" outlineLevel="0" collapsed="false">
      <c r="A5" s="8" t="s">
        <v>17</v>
      </c>
      <c r="B5" s="5" t="n">
        <v>26</v>
      </c>
      <c r="C5" s="5" t="n">
        <v>29</v>
      </c>
      <c r="D5" s="5" t="n">
        <f aca="false">COUNTIFS('Visit times'!$A$5:$A$20,"&gt;="&amp;B5,'Visit times'!$A$5:$A$20,"&lt;="&amp;C5)</f>
        <v>0</v>
      </c>
      <c r="E5" s="5" t="n">
        <f aca="false">COUNTIFS('Visit times'!$B$5:$B$20,"&gt;="&amp;B5,'Visit times'!$B$5:$B$20,"&lt;="&amp;C5)</f>
        <v>4</v>
      </c>
      <c r="G5" s="7"/>
      <c r="H5" s="7"/>
      <c r="I5" s="7"/>
      <c r="J5" s="7"/>
    </row>
    <row r="6" customFormat="false" ht="15" hidden="false" customHeight="false" outlineLevel="0" collapsed="false">
      <c r="A6" s="8" t="s">
        <v>18</v>
      </c>
      <c r="B6" s="5" t="n">
        <v>30</v>
      </c>
      <c r="C6" s="5" t="n">
        <v>33</v>
      </c>
      <c r="D6" s="5" t="n">
        <f aca="false">COUNTIFS('Visit times'!$A$5:$A$20,"&gt;="&amp;B6,'Visit times'!$A$5:$A$20,"&lt;="&amp;C6)</f>
        <v>1</v>
      </c>
      <c r="E6" s="5" t="n">
        <f aca="false">COUNTIFS('Visit times'!$B$5:$B$20,"&gt;="&amp;B6,'Visit times'!$B$5:$B$20,"&lt;="&amp;C6)</f>
        <v>4</v>
      </c>
      <c r="G6" s="7"/>
      <c r="H6" s="7"/>
      <c r="I6" s="7"/>
      <c r="J6" s="7"/>
    </row>
    <row r="7" customFormat="false" ht="15" hidden="false" customHeight="false" outlineLevel="0" collapsed="false">
      <c r="A7" s="8" t="s">
        <v>19</v>
      </c>
      <c r="B7" s="5" t="n">
        <v>34</v>
      </c>
      <c r="C7" s="5" t="n">
        <v>37</v>
      </c>
      <c r="D7" s="5" t="n">
        <f aca="false">COUNTIFS('Visit times'!$A$5:$A$20,"&gt;="&amp;B7,'Visit times'!$A$5:$A$20,"&lt;="&amp;C7)</f>
        <v>4</v>
      </c>
      <c r="E7" s="5" t="n">
        <f aca="false">COUNTIFS('Visit times'!$B$5:$B$20,"&gt;="&amp;B7,'Visit times'!$B$5:$B$20,"&lt;="&amp;C7)</f>
        <v>1</v>
      </c>
      <c r="G7" s="7"/>
      <c r="H7" s="7"/>
      <c r="I7" s="7"/>
      <c r="J7" s="7"/>
    </row>
    <row r="8" customFormat="false" ht="15" hidden="false" customHeight="false" outlineLevel="0" collapsed="false">
      <c r="A8" s="8" t="s">
        <v>20</v>
      </c>
      <c r="B8" s="5" t="n">
        <v>38</v>
      </c>
      <c r="C8" s="5" t="n">
        <v>41</v>
      </c>
      <c r="D8" s="5" t="n">
        <f aca="false">COUNTIFS('Visit times'!$A$5:$A$20,"&gt;="&amp;B8,'Visit times'!$A$5:$A$20,"&lt;="&amp;C8)</f>
        <v>5</v>
      </c>
      <c r="E8" s="5" t="n">
        <f aca="false">COUNTIFS('Visit times'!$B$5:$B$20,"&gt;="&amp;B8,'Visit times'!$B$5:$B$20,"&lt;="&amp;C8)</f>
        <v>1</v>
      </c>
      <c r="G8" s="7"/>
      <c r="H8" s="7"/>
      <c r="I8" s="7"/>
      <c r="J8" s="7"/>
    </row>
    <row r="9" customFormat="false" ht="15" hidden="false" customHeight="false" outlineLevel="0" collapsed="false">
      <c r="A9" s="8" t="s">
        <v>21</v>
      </c>
      <c r="B9" s="5" t="n">
        <v>42</v>
      </c>
      <c r="C9" s="5" t="n">
        <v>45</v>
      </c>
      <c r="D9" s="5" t="n">
        <f aca="false">COUNTIFS('Visit times'!$A$5:$A$20,"&gt;="&amp;B9,'Visit times'!$A$5:$A$20,"&lt;="&amp;C9)</f>
        <v>3</v>
      </c>
      <c r="E9" s="5" t="n">
        <f aca="false">COUNTIFS('Visit times'!$B$5:$B$20,"&gt;="&amp;B9,'Visit times'!$B$5:$B$20,"&lt;="&amp;C9)</f>
        <v>0</v>
      </c>
      <c r="G9" s="7"/>
      <c r="H9" s="7"/>
      <c r="I9" s="7"/>
      <c r="J9" s="7"/>
    </row>
    <row r="10" customFormat="false" ht="15" hidden="false" customHeight="false" outlineLevel="0" collapsed="false">
      <c r="A10" s="9" t="s">
        <v>22</v>
      </c>
      <c r="D10" s="8" t="n">
        <f aca="false">SUM(D5:D9)</f>
        <v>13</v>
      </c>
      <c r="E10" s="8" t="n">
        <f aca="false">SUM(E5:E9)</f>
        <v>10</v>
      </c>
    </row>
  </sheetData>
  <mergeCells count="3">
    <mergeCell ref="A1:E1"/>
    <mergeCell ref="A2:E2"/>
    <mergeCell ref="G4: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5" min="4" style="0" width="10"/>
    <col collapsed="false" customWidth="true" hidden="false" outlineLevel="0" max="6" min="6" style="0" width="12"/>
  </cols>
  <sheetData>
    <row r="1" customFormat="false" ht="17.35" hidden="false" customHeight="false" outlineLevel="0" collapsed="false">
      <c r="A1" s="1" t="s">
        <v>23</v>
      </c>
      <c r="B1" s="1"/>
      <c r="C1" s="1"/>
      <c r="D1" s="1"/>
      <c r="E1" s="1"/>
    </row>
    <row r="2" customFormat="false" ht="15" hidden="false" customHeight="false" outlineLevel="0" collapsed="false">
      <c r="A2" s="2" t="s">
        <v>24</v>
      </c>
      <c r="B2" s="2"/>
      <c r="C2" s="2"/>
      <c r="D2" s="2"/>
      <c r="E2" s="2"/>
    </row>
    <row r="4" customFormat="false" ht="21.75" hidden="false" customHeight="true" outlineLevel="0" collapsed="false">
      <c r="A4" s="3" t="s">
        <v>25</v>
      </c>
      <c r="B4" s="3" t="s">
        <v>26</v>
      </c>
      <c r="D4" s="4" t="s">
        <v>27</v>
      </c>
    </row>
    <row r="5" customFormat="false" ht="15" hidden="false" customHeight="false" outlineLevel="0" collapsed="false">
      <c r="A5" s="8" t="n">
        <v>1</v>
      </c>
      <c r="B5" s="5" t="n">
        <v>10.4</v>
      </c>
      <c r="D5" s="10" t="s">
        <v>14</v>
      </c>
      <c r="E5" s="10" t="s">
        <v>15</v>
      </c>
      <c r="F5" s="10" t="s">
        <v>28</v>
      </c>
    </row>
    <row r="6" customFormat="false" ht="15" hidden="false" customHeight="false" outlineLevel="0" collapsed="false">
      <c r="A6" s="8" t="n">
        <v>2</v>
      </c>
      <c r="B6" s="5" t="n">
        <v>10.7</v>
      </c>
      <c r="D6" s="8"/>
      <c r="E6" s="8"/>
      <c r="F6" s="5" t="str">
        <f aca="false">IF(OR(D6="",E6=""),"",COUNTIFS($B$5:$B$32,"&gt;="&amp;D6,$B$5:$B$32,"&lt;="&amp;E6))</f>
        <v/>
      </c>
    </row>
    <row r="7" customFormat="false" ht="15" hidden="false" customHeight="false" outlineLevel="0" collapsed="false">
      <c r="A7" s="8" t="n">
        <v>3</v>
      </c>
      <c r="B7" s="5" t="n">
        <v>11</v>
      </c>
      <c r="D7" s="8"/>
      <c r="E7" s="8"/>
      <c r="F7" s="5" t="str">
        <f aca="false">IF(OR(D7="",E7=""),"",COUNTIFS($B$5:$B$32,"&gt;="&amp;D7,$B$5:$B$32,"&lt;="&amp;E7))</f>
        <v/>
      </c>
    </row>
    <row r="8" customFormat="false" ht="15" hidden="false" customHeight="false" outlineLevel="0" collapsed="false">
      <c r="A8" s="8" t="n">
        <v>4</v>
      </c>
      <c r="B8" s="5" t="n">
        <v>11.2</v>
      </c>
      <c r="D8" s="8"/>
      <c r="E8" s="8"/>
      <c r="F8" s="5" t="str">
        <f aca="false">IF(OR(D8="",E8=""),"",COUNTIFS($B$5:$B$32,"&gt;="&amp;D8,$B$5:$B$32,"&lt;="&amp;E8))</f>
        <v/>
      </c>
    </row>
    <row r="9" customFormat="false" ht="15" hidden="false" customHeight="false" outlineLevel="0" collapsed="false">
      <c r="A9" s="8" t="n">
        <v>5</v>
      </c>
      <c r="B9" s="5" t="n">
        <v>11.2</v>
      </c>
      <c r="D9" s="8"/>
      <c r="E9" s="8"/>
      <c r="F9" s="5" t="str">
        <f aca="false">IF(OR(D9="",E9=""),"",COUNTIFS($B$5:$B$32,"&gt;="&amp;D9,$B$5:$B$32,"&lt;="&amp;E9))</f>
        <v/>
      </c>
    </row>
    <row r="10" customFormat="false" ht="15" hidden="false" customHeight="false" outlineLevel="0" collapsed="false">
      <c r="A10" s="8" t="n">
        <v>6</v>
      </c>
      <c r="B10" s="5" t="n">
        <v>11.3</v>
      </c>
      <c r="D10" s="8"/>
      <c r="E10" s="8"/>
      <c r="F10" s="5" t="str">
        <f aca="false">IF(OR(D10="",E10=""),"",COUNTIFS($B$5:$B$32,"&gt;="&amp;D10,$B$5:$B$32,"&lt;="&amp;E10))</f>
        <v/>
      </c>
    </row>
    <row r="11" customFormat="false" ht="15" hidden="false" customHeight="false" outlineLevel="0" collapsed="false">
      <c r="A11" s="8" t="n">
        <v>7</v>
      </c>
      <c r="B11" s="5" t="n">
        <v>11.6</v>
      </c>
      <c r="D11" s="8"/>
      <c r="E11" s="8"/>
      <c r="F11" s="5" t="str">
        <f aca="false">IF(OR(D11="",E11=""),"",COUNTIFS($B$5:$B$32,"&gt;="&amp;D11,$B$5:$B$32,"&lt;="&amp;E11))</f>
        <v/>
      </c>
    </row>
    <row r="12" customFormat="false" ht="15" hidden="false" customHeight="false" outlineLevel="0" collapsed="false">
      <c r="A12" s="8" t="n">
        <v>8</v>
      </c>
      <c r="B12" s="5" t="n">
        <v>11.7</v>
      </c>
      <c r="D12" s="8"/>
      <c r="E12" s="8"/>
      <c r="F12" s="5" t="str">
        <f aca="false">IF(OR(D12="",E12=""),"",COUNTIFS($B$5:$B$32,"&gt;="&amp;D12,$B$5:$B$32,"&lt;="&amp;E12))</f>
        <v/>
      </c>
    </row>
    <row r="13" customFormat="false" ht="15" hidden="false" customHeight="false" outlineLevel="0" collapsed="false">
      <c r="A13" s="8" t="n">
        <v>9</v>
      </c>
      <c r="B13" s="5" t="n">
        <v>12.1</v>
      </c>
      <c r="F13" s="9" t="str">
        <f aca="false">IF(COUNT(F6:F12)=0,"",SUM(F6:F12))</f>
        <v/>
      </c>
    </row>
    <row r="14" customFormat="false" ht="15" hidden="false" customHeight="true" outlineLevel="0" collapsed="false">
      <c r="A14" s="8" t="n">
        <v>10</v>
      </c>
      <c r="B14" s="5" t="n">
        <v>12.3</v>
      </c>
      <c r="D14" s="7" t="s">
        <v>29</v>
      </c>
      <c r="E14" s="7"/>
      <c r="F14" s="7"/>
      <c r="G14" s="7"/>
      <c r="H14" s="7"/>
    </row>
    <row r="15" customFormat="false" ht="15" hidden="false" customHeight="false" outlineLevel="0" collapsed="false">
      <c r="A15" s="8" t="n">
        <v>11</v>
      </c>
      <c r="B15" s="5" t="n">
        <v>12.4</v>
      </c>
      <c r="D15" s="7"/>
      <c r="E15" s="7"/>
      <c r="F15" s="7"/>
      <c r="G15" s="7"/>
      <c r="H15" s="7"/>
    </row>
    <row r="16" customFormat="false" ht="15" hidden="false" customHeight="false" outlineLevel="0" collapsed="false">
      <c r="A16" s="8" t="n">
        <v>12</v>
      </c>
      <c r="B16" s="5" t="n">
        <v>12.9</v>
      </c>
      <c r="D16" s="7"/>
      <c r="E16" s="7"/>
      <c r="F16" s="7"/>
      <c r="G16" s="7"/>
      <c r="H16" s="7"/>
    </row>
    <row r="17" customFormat="false" ht="15" hidden="false" customHeight="false" outlineLevel="0" collapsed="false">
      <c r="A17" s="8" t="n">
        <v>13</v>
      </c>
      <c r="B17" s="5" t="n">
        <v>13.1</v>
      </c>
      <c r="D17" s="7"/>
      <c r="E17" s="7"/>
      <c r="F17" s="7"/>
      <c r="G17" s="7"/>
      <c r="H17" s="7"/>
    </row>
    <row r="18" customFormat="false" ht="15" hidden="false" customHeight="false" outlineLevel="0" collapsed="false">
      <c r="A18" s="8" t="n">
        <v>14</v>
      </c>
      <c r="B18" s="5" t="n">
        <v>13.6</v>
      </c>
      <c r="D18" s="7"/>
      <c r="E18" s="7"/>
      <c r="F18" s="7"/>
      <c r="G18" s="7"/>
      <c r="H18" s="7"/>
    </row>
    <row r="19" customFormat="false" ht="15" hidden="false" customHeight="false" outlineLevel="0" collapsed="false">
      <c r="A19" s="8" t="n">
        <v>15</v>
      </c>
      <c r="B19" s="5" t="n">
        <v>13.9</v>
      </c>
    </row>
    <row r="20" customFormat="false" ht="15" hidden="false" customHeight="false" outlineLevel="0" collapsed="false">
      <c r="A20" s="8" t="n">
        <v>16</v>
      </c>
      <c r="B20" s="5" t="n">
        <v>14.2</v>
      </c>
    </row>
    <row r="21" customFormat="false" ht="15" hidden="false" customHeight="false" outlineLevel="0" collapsed="false">
      <c r="A21" s="8" t="n">
        <v>17</v>
      </c>
      <c r="B21" s="5" t="n">
        <v>14.8</v>
      </c>
    </row>
    <row r="22" customFormat="false" ht="15" hidden="false" customHeight="false" outlineLevel="0" collapsed="false">
      <c r="A22" s="8" t="n">
        <v>18</v>
      </c>
      <c r="B22" s="5" t="n">
        <v>15.2</v>
      </c>
    </row>
    <row r="23" customFormat="false" ht="15" hidden="false" customHeight="false" outlineLevel="0" collapsed="false">
      <c r="A23" s="8" t="n">
        <v>19</v>
      </c>
      <c r="B23" s="5" t="n">
        <v>15.5</v>
      </c>
    </row>
    <row r="24" customFormat="false" ht="15" hidden="false" customHeight="false" outlineLevel="0" collapsed="false">
      <c r="A24" s="8" t="n">
        <v>20</v>
      </c>
      <c r="B24" s="5" t="n">
        <v>15.9</v>
      </c>
    </row>
    <row r="25" customFormat="false" ht="15" hidden="false" customHeight="false" outlineLevel="0" collapsed="false">
      <c r="A25" s="8" t="n">
        <v>21</v>
      </c>
      <c r="B25" s="5" t="n">
        <v>15.9</v>
      </c>
    </row>
    <row r="26" customFormat="false" ht="15" hidden="false" customHeight="false" outlineLevel="0" collapsed="false">
      <c r="A26" s="8" t="n">
        <v>22</v>
      </c>
      <c r="B26" s="5" t="n">
        <v>16.5</v>
      </c>
    </row>
    <row r="27" customFormat="false" ht="15" hidden="false" customHeight="false" outlineLevel="0" collapsed="false">
      <c r="A27" s="8" t="n">
        <v>23</v>
      </c>
      <c r="B27" s="5" t="n">
        <v>16.9</v>
      </c>
    </row>
    <row r="28" customFormat="false" ht="15" hidden="false" customHeight="false" outlineLevel="0" collapsed="false">
      <c r="A28" s="8" t="n">
        <v>24</v>
      </c>
      <c r="B28" s="5" t="n">
        <v>17.5</v>
      </c>
    </row>
    <row r="29" customFormat="false" ht="15" hidden="false" customHeight="false" outlineLevel="0" collapsed="false">
      <c r="A29" s="8" t="n">
        <v>25</v>
      </c>
      <c r="B29" s="5" t="n">
        <v>17.9</v>
      </c>
    </row>
    <row r="30" customFormat="false" ht="15" hidden="false" customHeight="false" outlineLevel="0" collapsed="false">
      <c r="A30" s="8" t="n">
        <v>26</v>
      </c>
      <c r="B30" s="5" t="n">
        <v>18.3</v>
      </c>
    </row>
    <row r="31" customFormat="false" ht="15" hidden="false" customHeight="false" outlineLevel="0" collapsed="false">
      <c r="A31" s="8" t="n">
        <v>27</v>
      </c>
      <c r="B31" s="5" t="n">
        <v>21.8</v>
      </c>
    </row>
    <row r="32" customFormat="false" ht="15" hidden="false" customHeight="false" outlineLevel="0" collapsed="false">
      <c r="A32" s="8" t="n">
        <v>28</v>
      </c>
      <c r="B32" s="5" t="n">
        <v>25.1</v>
      </c>
    </row>
  </sheetData>
  <mergeCells count="3">
    <mergeCell ref="A1:E1"/>
    <mergeCell ref="A2:E2"/>
    <mergeCell ref="D14: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2026-10-03T00:17:38Z</dcterms:created>
  <dc:creator>openpyxl</dc:creator>
  <dc:description/>
  <dc:language>en-US</dc:language>
  <cp:lastModifiedBy/>
  <dcterms:modified xsi:type="dcterms:W3CDTF">2026-10-03T00:17:38Z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