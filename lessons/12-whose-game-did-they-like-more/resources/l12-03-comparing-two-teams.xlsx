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ide by side" sheetId="1" state="visible" r:id="rId3"/>
    <sheet name="Team Comet" sheetId="2" state="visible" r:id="rId4"/>
    <sheet name="Team Nebul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<sst xmlns="http://schemas.openxmlformats.org/spreadsheetml/2006/main" count="82" uniqueCount="51">
  <si>
    <t xml:space="preserve">The two teams, counted the same way</t>
  </si>
  <si>
    <t xml:space="preserve">The counts are formulas. Change a number on either team’s sheet and watch these move.</t>
  </si>
  <si>
    <t xml:space="preserve">Rating</t>
  </si>
  <si>
    <t xml:space="preserve">Comet</t>
  </si>
  <si>
    <t xml:space="preserve">Nebula</t>
  </si>
  <si>
    <t xml:space="preserve">Won out of 3</t>
  </si>
  <si>
    <t xml:space="preserve">How many buddies gave each answer, out of how many</t>
  </si>
  <si>
    <t xml:space="preserve">The two teams did not have the same number of buddies, so the raw counts are not a fair comparison on their own. The percentage rows are. Look at the gap between the two ways of reading it.</t>
  </si>
  <si>
    <t xml:space="preserve">Buddies with a rating</t>
  </si>
  <si>
    <t xml:space="preserve">Gave a 3 or a 4</t>
  </si>
  <si>
    <t xml:space="preserve">…as a fraction of their buddies</t>
  </si>
  <si>
    <t xml:space="preserve">Buddies with a wins number</t>
  </si>
  <si>
    <t xml:space="preserve">Won at least one turn</t>
  </si>
  <si>
    <t xml:space="preserve">Team Comet — cleaned data</t>
  </si>
  <si>
    <t xml:space="preserve">Treasure Bag · 15 buddies · two visits were not timed or rated</t>
  </si>
  <si>
    <t xml:space="preserve">Buddy</t>
  </si>
  <si>
    <t xml:space="preserve">Outcome of first turn</t>
  </si>
  <si>
    <t xml:space="preserve">Seconds</t>
  </si>
  <si>
    <t xml:space="preserve">Liked it (1–4)</t>
  </si>
  <si>
    <t xml:space="preserve">Ava</t>
  </si>
  <si>
    <t xml:space="preserve">Gold</t>
  </si>
  <si>
    <t xml:space="preserve">Noah</t>
  </si>
  <si>
    <t xml:space="preserve">Blue</t>
  </si>
  <si>
    <t xml:space="preserve">Mia</t>
  </si>
  <si>
    <t xml:space="preserve">Silver</t>
  </si>
  <si>
    <t xml:space="preserve">Liam</t>
  </si>
  <si>
    <t xml:space="preserve">Zoe</t>
  </si>
  <si>
    <t xml:space="preserve">Ethan</t>
  </si>
  <si>
    <t xml:space="preserve">Isla</t>
  </si>
  <si>
    <t xml:space="preserve">Jack</t>
  </si>
  <si>
    <t xml:space="preserve">Harper</t>
  </si>
  <si>
    <t xml:space="preserve">Oliver</t>
  </si>
  <si>
    <t xml:space="preserve">Chloe</t>
  </si>
  <si>
    <t xml:space="preserve">Lucas</t>
  </si>
  <si>
    <t xml:space="preserve">Ruby</t>
  </si>
  <si>
    <t xml:space="preserve">Grace</t>
  </si>
  <si>
    <t xml:space="preserve">Max</t>
  </si>
  <si>
    <t xml:space="preserve">Team Nebula — cleaned data</t>
  </si>
  <si>
    <t xml:space="preserve">Lucky Dip · 10 buddies · one gold token in a bag of eight</t>
  </si>
  <si>
    <t xml:space="preserve">Finn</t>
  </si>
  <si>
    <t xml:space="preserve">Blank</t>
  </si>
  <si>
    <t xml:space="preserve">Aria</t>
  </si>
  <si>
    <t xml:space="preserve">Hugo</t>
  </si>
  <si>
    <t xml:space="preserve">Token</t>
  </si>
  <si>
    <t xml:space="preserve">Lily</t>
  </si>
  <si>
    <t xml:space="preserve">Theo</t>
  </si>
  <si>
    <t xml:space="preserve">Nina</t>
  </si>
  <si>
    <t xml:space="preserve">Kai</t>
  </si>
  <si>
    <t xml:space="preserve">Rosie</t>
  </si>
  <si>
    <t xml:space="preserve">Sam</t>
  </si>
  <si>
    <t xml:space="preserve">Jade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</si>
</sst>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10"/>
      <color rgb="FF555F6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FCC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55F6E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Ratings: Team Comet and Team Nebula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'Side by side'!B4</c:f>
              <c:strCache>
                <c:ptCount val="1"/>
                <c:pt idx="0">
                  <c:v>Comet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'Side by side'!$A$5:$A$8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'Side by side'!$B$5:$B$8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</c:ser>
        <c:ser>
          <c:idx val="1"/>
          <c:order val="1"/>
          <c:tx>
            <c:strRef>
              <c:f>'Side by side'!C4</c:f>
              <c:strCache>
                <c:ptCount val="1"/>
                <c:pt idx="0">
                  <c:v>Nebula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'Side by side'!$A$5:$A$8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'Side by side'!$C$5:$C$8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gapWidth val="150"/>
        <c:overlap val="0"/>
        <c:axId val="14777621"/>
        <c:axId val="4006802"/>
      </c:barChart>
      <c:catAx>
        <c:axId val="147776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Rating, 1 to 4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6802"/>
        <c:crosses val="autoZero"/>
        <c:auto val="1"/>
        <c:lblAlgn val="ctr"/>
        <c:lblOffset val="100"/>
        <c:noMultiLvlLbl val="0"/>
      </c:catAx>
      <c:valAx>
        <c:axId val="40068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buddies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776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160560</xdr:rowOff>
    </xdr:from>
    <xdr:to>
      <xdr:col>4</xdr:col>
      <xdr:colOff>1092600</xdr:colOff>
      <xdr:row>32</xdr:row>
      <xdr:rowOff>182880</xdr:rowOff>
    </xdr:to>
    <xdr:graphicFrame>
      <xdr:nvGraphicFramePr>
        <xdr:cNvPr id="0" name="Chart 1"/>
        <xdr:cNvGraphicFramePr/>
      </xdr:nvGraphicFramePr>
      <xdr:xfrm>
        <a:off x="0" y="3514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0"/>
    <col collapsed="false" customWidth="true" hidden="false" outlineLevel="0" max="4" min="4" style="0" width="4"/>
    <col collapsed="false" customWidth="true" hidden="false" outlineLevel="0" max="5" min="5" style="0" width="16"/>
    <col collapsed="false" customWidth="true" hidden="false" outlineLevel="0" max="7" min="6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/>
      <c r="E4" s="3" t="s">
        <v>5</v>
      </c>
      <c r="F4" s="3" t="s">
        <v>3</v>
      </c>
      <c r="G4" s="3" t="s">
        <v>4</v>
      </c>
    </row>
    <row r="5" customFormat="false" ht="15" hidden="false" customHeight="false" outlineLevel="0" collapsed="false">
      <c r="A5" s="4" t="n">
        <v>1</v>
      </c>
      <c r="B5" s="5" t="n">
        <f aca="false">COUNTIF('Team Comet'!E5:E19,1)</f>
        <v>0</v>
      </c>
      <c r="C5" s="5" t="n">
        <f aca="false">COUNTIF('Team Nebula'!E5:E14,1)</f>
        <v>1</v>
      </c>
      <c r="E5" s="4" t="n">
        <v>0</v>
      </c>
      <c r="F5" s="5" t="n">
        <f aca="false">COUNTIF('Team Comet'!C5:C19,0)</f>
        <v>4</v>
      </c>
      <c r="G5" s="5" t="n">
        <f aca="false">COUNTIF('Team Nebula'!C5:C14,0)</f>
        <v>6</v>
      </c>
    </row>
    <row r="6" customFormat="false" ht="15" hidden="false" customHeight="false" outlineLevel="0" collapsed="false">
      <c r="A6" s="4" t="n">
        <v>2</v>
      </c>
      <c r="B6" s="5" t="n">
        <f aca="false">COUNTIF('Team Comet'!E5:E19,2)</f>
        <v>2</v>
      </c>
      <c r="C6" s="5" t="n">
        <f aca="false">COUNTIF('Team Nebula'!E5:E14,2)</f>
        <v>4</v>
      </c>
      <c r="E6" s="4" t="n">
        <v>1</v>
      </c>
      <c r="F6" s="5" t="n">
        <f aca="false">COUNTIF('Team Comet'!C5:C19,1)</f>
        <v>5</v>
      </c>
      <c r="G6" s="5" t="n">
        <f aca="false">COUNTIF('Team Nebula'!C5:C14,1)</f>
        <v>3</v>
      </c>
    </row>
    <row r="7" customFormat="false" ht="15" hidden="false" customHeight="false" outlineLevel="0" collapsed="false">
      <c r="A7" s="4" t="n">
        <v>3</v>
      </c>
      <c r="B7" s="5" t="n">
        <f aca="false">COUNTIF('Team Comet'!E5:E19,3)</f>
        <v>6</v>
      </c>
      <c r="C7" s="5" t="n">
        <f aca="false">COUNTIF('Team Nebula'!E5:E14,3)</f>
        <v>3</v>
      </c>
      <c r="E7" s="4" t="n">
        <v>2</v>
      </c>
      <c r="F7" s="5" t="n">
        <f aca="false">COUNTIF('Team Comet'!C5:C19,2)</f>
        <v>4</v>
      </c>
      <c r="G7" s="5" t="n">
        <f aca="false">COUNTIF('Team Nebula'!C5:C14,2)</f>
        <v>1</v>
      </c>
    </row>
    <row r="8" customFormat="false" ht="15" hidden="false" customHeight="false" outlineLevel="0" collapsed="false">
      <c r="A8" s="4" t="n">
        <v>4</v>
      </c>
      <c r="B8" s="5" t="n">
        <f aca="false">COUNTIF('Team Comet'!E5:E19,4)</f>
        <v>5</v>
      </c>
      <c r="C8" s="5" t="n">
        <f aca="false">COUNTIF('Team Nebula'!E5:E14,4)</f>
        <v>2</v>
      </c>
      <c r="E8" s="4" t="n">
        <v>3</v>
      </c>
      <c r="F8" s="5" t="n">
        <f aca="false">COUNTIF('Team Comet'!C5:C19,3)</f>
        <v>1</v>
      </c>
      <c r="G8" s="5" t="n">
        <f aca="false">COUNTIF('Team Nebula'!C5:C14,3)</f>
        <v>0</v>
      </c>
    </row>
    <row r="11" customFormat="false" ht="15" hidden="false" customHeight="true" outlineLevel="0" collapsed="false">
      <c r="A11" s="6" t="s">
        <v>6</v>
      </c>
      <c r="B11" s="7" t="s">
        <v>3</v>
      </c>
      <c r="C11" s="7" t="s">
        <v>4</v>
      </c>
      <c r="E11" s="8" t="s">
        <v>7</v>
      </c>
      <c r="F11" s="8"/>
      <c r="G11" s="8"/>
      <c r="H11" s="8"/>
    </row>
    <row r="12" customFormat="false" ht="15" hidden="false" customHeight="false" outlineLevel="0" collapsed="false">
      <c r="A12" s="9" t="s">
        <v>8</v>
      </c>
      <c r="B12" s="5" t="n">
        <f aca="false">SUM(B5:B8)</f>
        <v>13</v>
      </c>
      <c r="C12" s="5" t="n">
        <f aca="false">SUM(C5:C8)</f>
        <v>10</v>
      </c>
      <c r="E12" s="8"/>
      <c r="F12" s="8"/>
      <c r="G12" s="8"/>
      <c r="H12" s="8"/>
    </row>
    <row r="13" customFormat="false" ht="15" hidden="false" customHeight="false" outlineLevel="0" collapsed="false">
      <c r="A13" s="9" t="s">
        <v>9</v>
      </c>
      <c r="B13" s="5" t="n">
        <f aca="false">B7+B8</f>
        <v>11</v>
      </c>
      <c r="C13" s="5" t="n">
        <f aca="false">C7+C8</f>
        <v>5</v>
      </c>
      <c r="E13" s="8"/>
      <c r="F13" s="8"/>
      <c r="G13" s="8"/>
      <c r="H13" s="8"/>
    </row>
    <row r="14" customFormat="false" ht="15" hidden="false" customHeight="false" outlineLevel="0" collapsed="false">
      <c r="A14" s="9" t="s">
        <v>10</v>
      </c>
      <c r="B14" s="10" t="n">
        <f aca="false">IF(B12=0,"",B13/B12)</f>
        <v>0.846153846153846</v>
      </c>
      <c r="C14" s="10" t="n">
        <f aca="false">IF(C12=0,"",C13/C12)</f>
        <v>0.5</v>
      </c>
      <c r="E14" s="8"/>
      <c r="F14" s="8"/>
      <c r="G14" s="8"/>
      <c r="H14" s="8"/>
    </row>
    <row r="15" customFormat="false" ht="15" hidden="false" customHeight="false" outlineLevel="0" collapsed="false">
      <c r="A15" s="9" t="s">
        <v>11</v>
      </c>
      <c r="B15" s="5" t="n">
        <f aca="false">SUM(F5:F8)</f>
        <v>14</v>
      </c>
      <c r="C15" s="5" t="n">
        <f aca="false">SUM(G5:G8)</f>
        <v>10</v>
      </c>
      <c r="E15" s="8"/>
      <c r="F15" s="8"/>
      <c r="G15" s="8"/>
      <c r="H15" s="8"/>
    </row>
    <row r="16" customFormat="false" ht="15" hidden="false" customHeight="false" outlineLevel="0" collapsed="false">
      <c r="A16" s="9" t="s">
        <v>12</v>
      </c>
      <c r="B16" s="5" t="n">
        <f aca="false">F6+F7+F8</f>
        <v>10</v>
      </c>
      <c r="C16" s="5" t="n">
        <f aca="false">G6+G7+G8</f>
        <v>4</v>
      </c>
      <c r="E16" s="8"/>
      <c r="F16" s="8"/>
      <c r="G16" s="8"/>
      <c r="H16" s="8"/>
    </row>
    <row r="17" customFormat="false" ht="15" hidden="false" customHeight="false" outlineLevel="0" collapsed="false">
      <c r="A17" s="9" t="s">
        <v>10</v>
      </c>
      <c r="B17" s="10" t="n">
        <f aca="false">IF(B15=0,"",B16/B15)</f>
        <v>0.714285714285714</v>
      </c>
      <c r="C17" s="10" t="n">
        <f aca="false">IF(C15=0,"",C16/C15)</f>
        <v>0.4</v>
      </c>
    </row>
  </sheetData>
  <mergeCells count="3">
    <mergeCell ref="A1:F1"/>
    <mergeCell ref="A2:F2"/>
    <mergeCell ref="E11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13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14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15</v>
      </c>
      <c r="B4" s="3" t="s">
        <v>16</v>
      </c>
      <c r="C4" s="3" t="s">
        <v>5</v>
      </c>
      <c r="D4" s="3" t="s">
        <v>17</v>
      </c>
      <c r="E4" s="3" t="s">
        <v>18</v>
      </c>
    </row>
    <row r="5" customFormat="false" ht="15" hidden="false" customHeight="false" outlineLevel="0" collapsed="false">
      <c r="A5" s="5" t="s">
        <v>19</v>
      </c>
      <c r="B5" s="5" t="s">
        <v>20</v>
      </c>
      <c r="C5" s="5" t="n">
        <v>1</v>
      </c>
      <c r="D5" s="5" t="n">
        <v>38</v>
      </c>
      <c r="E5" s="5" t="n">
        <v>4</v>
      </c>
    </row>
    <row r="6" customFormat="false" ht="15" hidden="false" customHeight="false" outlineLevel="0" collapsed="false">
      <c r="A6" s="5" t="s">
        <v>21</v>
      </c>
      <c r="B6" s="5" t="s">
        <v>22</v>
      </c>
      <c r="C6" s="5" t="n">
        <v>0</v>
      </c>
      <c r="D6" s="5" t="n">
        <v>42</v>
      </c>
      <c r="E6" s="5" t="n">
        <v>3</v>
      </c>
    </row>
    <row r="7" customFormat="false" ht="15" hidden="false" customHeight="false" outlineLevel="0" collapsed="false">
      <c r="A7" s="5" t="s">
        <v>23</v>
      </c>
      <c r="B7" s="5" t="s">
        <v>24</v>
      </c>
      <c r="C7" s="5" t="n">
        <v>2</v>
      </c>
      <c r="D7" s="5" t="n">
        <v>35</v>
      </c>
      <c r="E7" s="5" t="n">
        <v>4</v>
      </c>
    </row>
    <row r="8" customFormat="false" ht="15" hidden="false" customHeight="false" outlineLevel="0" collapsed="false">
      <c r="A8" s="5" t="s">
        <v>25</v>
      </c>
      <c r="B8" s="5" t="s">
        <v>20</v>
      </c>
      <c r="C8" s="5" t="n">
        <v>1</v>
      </c>
      <c r="D8" s="5" t="n">
        <v>40</v>
      </c>
      <c r="E8" s="5" t="n">
        <v>3</v>
      </c>
    </row>
    <row r="9" customFormat="false" ht="15" hidden="false" customHeight="false" outlineLevel="0" collapsed="false">
      <c r="A9" s="5" t="s">
        <v>26</v>
      </c>
      <c r="B9" s="5" t="s">
        <v>22</v>
      </c>
      <c r="C9" s="5"/>
      <c r="D9" s="5" t="n">
        <v>44</v>
      </c>
      <c r="E9" s="5" t="n">
        <v>2</v>
      </c>
    </row>
    <row r="10" customFormat="false" ht="15" hidden="false" customHeight="false" outlineLevel="0" collapsed="false">
      <c r="A10" s="5" t="s">
        <v>27</v>
      </c>
      <c r="B10" s="5" t="s">
        <v>24</v>
      </c>
      <c r="C10" s="5" t="n">
        <v>0</v>
      </c>
      <c r="D10" s="5"/>
      <c r="E10" s="5" t="n">
        <v>3</v>
      </c>
    </row>
    <row r="11" customFormat="false" ht="15" hidden="false" customHeight="false" outlineLevel="0" collapsed="false">
      <c r="A11" s="5" t="s">
        <v>28</v>
      </c>
      <c r="B11" s="5" t="s">
        <v>20</v>
      </c>
      <c r="C11" s="5" t="n">
        <v>2</v>
      </c>
      <c r="D11" s="5" t="n">
        <v>39</v>
      </c>
      <c r="E11" s="5"/>
    </row>
    <row r="12" customFormat="false" ht="15" hidden="false" customHeight="false" outlineLevel="0" collapsed="false">
      <c r="A12" s="5" t="s">
        <v>29</v>
      </c>
      <c r="B12" s="5" t="s">
        <v>22</v>
      </c>
      <c r="C12" s="5" t="n">
        <v>1</v>
      </c>
      <c r="D12" s="5" t="n">
        <v>40</v>
      </c>
      <c r="E12" s="5" t="n">
        <v>4</v>
      </c>
    </row>
    <row r="13" customFormat="false" ht="15" hidden="false" customHeight="false" outlineLevel="0" collapsed="false">
      <c r="A13" s="5" t="s">
        <v>30</v>
      </c>
      <c r="B13" s="5" t="s">
        <v>24</v>
      </c>
      <c r="C13" s="5" t="n">
        <v>1</v>
      </c>
      <c r="D13" s="5" t="n">
        <v>41</v>
      </c>
      <c r="E13" s="5" t="n">
        <v>3</v>
      </c>
    </row>
    <row r="14" customFormat="false" ht="15" hidden="false" customHeight="false" outlineLevel="0" collapsed="false">
      <c r="A14" s="5" t="s">
        <v>31</v>
      </c>
      <c r="B14" s="5" t="s">
        <v>20</v>
      </c>
      <c r="C14" s="5" t="n">
        <v>3</v>
      </c>
      <c r="D14" s="5" t="n">
        <v>33</v>
      </c>
      <c r="E14" s="5" t="n">
        <v>4</v>
      </c>
    </row>
    <row r="15" customFormat="false" ht="15" hidden="false" customHeight="false" outlineLevel="0" collapsed="false">
      <c r="A15" s="5" t="s">
        <v>32</v>
      </c>
      <c r="B15" s="5" t="s">
        <v>22</v>
      </c>
      <c r="C15" s="5" t="n">
        <v>0</v>
      </c>
      <c r="D15" s="5"/>
      <c r="E15" s="5"/>
    </row>
    <row r="16" customFormat="false" ht="15" hidden="false" customHeight="false" outlineLevel="0" collapsed="false">
      <c r="A16" s="5" t="s">
        <v>33</v>
      </c>
      <c r="B16" s="5" t="s">
        <v>24</v>
      </c>
      <c r="C16" s="5" t="n">
        <v>2</v>
      </c>
      <c r="D16" s="5" t="n">
        <v>37</v>
      </c>
      <c r="E16" s="5" t="n">
        <v>3</v>
      </c>
    </row>
    <row r="17" customFormat="false" ht="15" hidden="false" customHeight="false" outlineLevel="0" collapsed="false">
      <c r="A17" s="5" t="s">
        <v>34</v>
      </c>
      <c r="B17" s="5" t="s">
        <v>20</v>
      </c>
      <c r="C17" s="5" t="n">
        <v>1</v>
      </c>
      <c r="D17" s="5" t="n">
        <v>36</v>
      </c>
      <c r="E17" s="5" t="n">
        <v>4</v>
      </c>
    </row>
    <row r="18" customFormat="false" ht="15" hidden="false" customHeight="false" outlineLevel="0" collapsed="false">
      <c r="A18" s="5" t="s">
        <v>35</v>
      </c>
      <c r="B18" s="5" t="s">
        <v>22</v>
      </c>
      <c r="C18" s="5" t="n">
        <v>0</v>
      </c>
      <c r="D18" s="5" t="n">
        <v>43</v>
      </c>
      <c r="E18" s="5" t="n">
        <v>2</v>
      </c>
    </row>
    <row r="19" customFormat="false" ht="15" hidden="false" customHeight="false" outlineLevel="0" collapsed="false">
      <c r="A19" s="5" t="s">
        <v>36</v>
      </c>
      <c r="B19" s="5" t="s">
        <v>20</v>
      </c>
      <c r="C19" s="5" t="n">
        <v>2</v>
      </c>
      <c r="D19" s="5" t="n">
        <v>34</v>
      </c>
      <c r="E19" s="5" t="n">
        <v>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37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38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15</v>
      </c>
      <c r="B4" s="3" t="s">
        <v>16</v>
      </c>
      <c r="C4" s="3" t="s">
        <v>5</v>
      </c>
      <c r="D4" s="3" t="s">
        <v>17</v>
      </c>
      <c r="E4" s="3" t="s">
        <v>18</v>
      </c>
    </row>
    <row r="5" customFormat="false" ht="15" hidden="false" customHeight="false" outlineLevel="0" collapsed="false">
      <c r="A5" s="5" t="s">
        <v>39</v>
      </c>
      <c r="B5" s="5" t="s">
        <v>40</v>
      </c>
      <c r="C5" s="5" t="n">
        <v>0</v>
      </c>
      <c r="D5" s="5" t="n">
        <v>28</v>
      </c>
      <c r="E5" s="5" t="n">
        <v>2</v>
      </c>
    </row>
    <row r="6" customFormat="false" ht="15" hidden="false" customHeight="false" outlineLevel="0" collapsed="false">
      <c r="A6" s="5" t="s">
        <v>41</v>
      </c>
      <c r="B6" s="5" t="s">
        <v>40</v>
      </c>
      <c r="C6" s="5" t="n">
        <v>1</v>
      </c>
      <c r="D6" s="5" t="n">
        <v>31</v>
      </c>
      <c r="E6" s="5" t="n">
        <v>3</v>
      </c>
    </row>
    <row r="7" customFormat="false" ht="15" hidden="false" customHeight="false" outlineLevel="0" collapsed="false">
      <c r="A7" s="5" t="s">
        <v>42</v>
      </c>
      <c r="B7" s="5" t="s">
        <v>43</v>
      </c>
      <c r="C7" s="5" t="n">
        <v>1</v>
      </c>
      <c r="D7" s="5" t="n">
        <v>35</v>
      </c>
      <c r="E7" s="5" t="n">
        <v>4</v>
      </c>
    </row>
    <row r="8" customFormat="false" ht="15" hidden="false" customHeight="false" outlineLevel="0" collapsed="false">
      <c r="A8" s="5" t="s">
        <v>44</v>
      </c>
      <c r="B8" s="5" t="s">
        <v>40</v>
      </c>
      <c r="C8" s="5" t="n">
        <v>0</v>
      </c>
      <c r="D8" s="5" t="n">
        <v>26</v>
      </c>
      <c r="E8" s="5" t="n">
        <v>2</v>
      </c>
    </row>
    <row r="9" customFormat="false" ht="15" hidden="false" customHeight="false" outlineLevel="0" collapsed="false">
      <c r="A9" s="5" t="s">
        <v>45</v>
      </c>
      <c r="B9" s="5" t="s">
        <v>40</v>
      </c>
      <c r="C9" s="5" t="n">
        <v>0</v>
      </c>
      <c r="D9" s="5" t="n">
        <v>30</v>
      </c>
      <c r="E9" s="5" t="n">
        <v>1</v>
      </c>
    </row>
    <row r="10" customFormat="false" ht="15" hidden="false" customHeight="false" outlineLevel="0" collapsed="false">
      <c r="A10" s="5" t="s">
        <v>46</v>
      </c>
      <c r="B10" s="5" t="s">
        <v>40</v>
      </c>
      <c r="C10" s="5" t="n">
        <v>0</v>
      </c>
      <c r="D10" s="5" t="n">
        <v>33</v>
      </c>
      <c r="E10" s="5" t="n">
        <v>3</v>
      </c>
    </row>
    <row r="11" customFormat="false" ht="15" hidden="false" customHeight="false" outlineLevel="0" collapsed="false">
      <c r="A11" s="5" t="s">
        <v>47</v>
      </c>
      <c r="B11" s="5" t="s">
        <v>43</v>
      </c>
      <c r="C11" s="5" t="n">
        <v>2</v>
      </c>
      <c r="D11" s="5" t="n">
        <v>38</v>
      </c>
      <c r="E11" s="5" t="n">
        <v>4</v>
      </c>
    </row>
    <row r="12" customFormat="false" ht="15" hidden="false" customHeight="false" outlineLevel="0" collapsed="false">
      <c r="A12" s="5" t="s">
        <v>48</v>
      </c>
      <c r="B12" s="5" t="s">
        <v>40</v>
      </c>
      <c r="C12" s="5" t="n">
        <v>0</v>
      </c>
      <c r="D12" s="5" t="n">
        <v>27</v>
      </c>
      <c r="E12" s="5" t="n">
        <v>2</v>
      </c>
    </row>
    <row r="13" customFormat="false" ht="15" hidden="false" customHeight="false" outlineLevel="0" collapsed="false">
      <c r="A13" s="5" t="s">
        <v>49</v>
      </c>
      <c r="B13" s="5" t="s">
        <v>40</v>
      </c>
      <c r="C13" s="5" t="n">
        <v>1</v>
      </c>
      <c r="D13" s="5" t="n">
        <v>32</v>
      </c>
      <c r="E13" s="5" t="n">
        <v>3</v>
      </c>
    </row>
    <row r="14" customFormat="false" ht="15" hidden="false" customHeight="false" outlineLevel="0" collapsed="false">
      <c r="A14" s="5" t="s">
        <v>50</v>
      </c>
      <c r="B14" s="5" t="s">
        <v>40</v>
      </c>
      <c r="C14" s="5" t="n">
        <v>0</v>
      </c>
      <c r="D14" s="5" t="n">
        <v>29</v>
      </c>
      <c r="E14" s="5" t="n">
        <v>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2026-10-03T00:13:49Z</dcterms:created>
  <dc:creator>openpyxl</dc:creator>
  <dc:description/>
  <dc:language>en-US</dc:language>
  <cp:lastModifiedBy/>
  <dcterms:modified xsi:type="dcterms:W3CDTF">2026-10-03T00:13:49Z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